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neftpy\sandbox\"/>
    </mc:Choice>
  </mc:AlternateContent>
  <xr:revisionPtr revIDLastSave="0" documentId="13_ncr:1_{5E4FAFED-5E5A-4D2A-911A-1701C3C6F698}" xr6:coauthVersionLast="47" xr6:coauthVersionMax="47" xr10:uidLastSave="{00000000-0000-0000-0000-000000000000}"/>
  <bookViews>
    <workbookView xWindow="-120" yWindow="-120" windowWidth="29040" windowHeight="17640" xr2:uid="{D7599CD2-037B-44D6-8121-EA2DDE4CCAA5}"/>
  </bookViews>
  <sheets>
    <sheet name="pvt" sheetId="1" r:id="rId1"/>
    <sheet name="Лист1" sheetId="2" r:id="rId2"/>
  </sheets>
  <externalReferences>
    <externalReference r:id="rId3"/>
  </externalReferences>
  <definedNames>
    <definedName name="bob_m3m3">pvt!$C$8</definedName>
    <definedName name="gamma_gas">pvt!$C$2</definedName>
    <definedName name="gamma_oil">pvt!$C$3</definedName>
    <definedName name="gamma_wat">pvt!$C$4</definedName>
    <definedName name="linspace">pvt!$F$15</definedName>
    <definedName name="muob_cP">pvt!$C$9</definedName>
    <definedName name="pb_atma">pvt!$C$6</definedName>
    <definedName name="pb_Mpa">pvt!$E$6</definedName>
    <definedName name="PVT">pvt!$C$11</definedName>
    <definedName name="pvt_corr_set">pvt!$C$10</definedName>
    <definedName name="PVT_json">pvt!$C$11</definedName>
    <definedName name="rsb_m3m3">pvt!$C$5</definedName>
    <definedName name="t_res_C">pvt!$C$7</definedName>
    <definedName name="t_res_K">pvt!$E$7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3" i="1" l="1"/>
  <c r="J74" i="1"/>
  <c r="J75" i="1"/>
  <c r="J72" i="1"/>
  <c r="J67" i="1"/>
  <c r="J62" i="1"/>
  <c r="J49" i="1"/>
  <c r="J51" i="1"/>
  <c r="J50" i="1"/>
  <c r="B39" i="1"/>
  <c r="J44" i="1"/>
  <c r="E6" i="1"/>
  <c r="J43" i="1" s="1"/>
  <c r="J39" i="1"/>
  <c r="J41" i="1"/>
  <c r="J40" i="1"/>
  <c r="J34" i="1"/>
  <c r="J33" i="1"/>
  <c r="J32" i="1"/>
  <c r="J27" i="1"/>
  <c r="J26" i="1"/>
  <c r="J25" i="1"/>
  <c r="J17" i="1"/>
  <c r="J16" i="1"/>
  <c r="E7" i="1"/>
  <c r="J18" i="1" s="1"/>
  <c r="J76" i="1" a="1"/>
  <c r="J68" i="1" a="1"/>
  <c r="J63" i="1" a="1"/>
  <c r="J58" i="1" a="1"/>
  <c r="C32" i="1" a="1"/>
  <c r="D34" i="1" a="1"/>
  <c r="D35" i="1" a="1"/>
  <c r="D36" i="1" a="1"/>
  <c r="C36" i="1" a="1"/>
  <c r="C35" i="1" a="1"/>
  <c r="C33" i="1" a="1"/>
  <c r="D33" i="1" a="1"/>
  <c r="C34" i="1" a="1"/>
  <c r="D32" i="1" a="1"/>
  <c r="F16" i="1"/>
  <c r="C11" i="1"/>
  <c r="F15" i="1"/>
  <c r="B31" i="1" a="1"/>
  <c r="J76" i="1" l="1"/>
  <c r="J61" i="1"/>
  <c r="J66" i="1"/>
  <c r="J68" i="1"/>
  <c r="J63" i="1"/>
  <c r="J52" i="1"/>
  <c r="J54" i="1"/>
  <c r="J58" i="1"/>
  <c r="J46" i="1"/>
  <c r="J37" i="1"/>
  <c r="J30" i="1"/>
  <c r="J20" i="1"/>
  <c r="D36" i="1"/>
  <c r="D32" i="1"/>
  <c r="D35" i="1"/>
  <c r="D33" i="1"/>
  <c r="D34" i="1"/>
  <c r="J35" i="1"/>
  <c r="J42" i="1"/>
  <c r="C35" i="1"/>
  <c r="C33" i="1"/>
  <c r="C36" i="1"/>
  <c r="C34" i="1"/>
  <c r="C32" i="1"/>
  <c r="B31" i="1"/>
  <c r="J28" i="1"/>
  <c r="D31" i="1" a="1"/>
  <c r="C31" i="1" a="1"/>
  <c r="B22" i="1" a="1"/>
  <c r="D24" i="1" a="1"/>
  <c r="C25" i="1" a="1"/>
  <c r="C23" i="1" a="1"/>
  <c r="D25" i="1" a="1"/>
  <c r="C27" i="1" a="1"/>
  <c r="D26" i="1" a="1"/>
  <c r="D23" i="1" a="1"/>
  <c r="C26" i="1" a="1"/>
  <c r="C24" i="1" a="1"/>
  <c r="D27" i="1" a="1"/>
  <c r="D27" i="1" l="1"/>
  <c r="C24" i="1"/>
  <c r="C26" i="1"/>
  <c r="D23" i="1"/>
  <c r="D26" i="1"/>
  <c r="C27" i="1"/>
  <c r="D25" i="1"/>
  <c r="C23" i="1"/>
  <c r="C25" i="1"/>
  <c r="D24" i="1"/>
  <c r="B43" i="1"/>
  <c r="B44" i="1"/>
  <c r="B41" i="1"/>
  <c r="B45" i="1"/>
  <c r="B42" i="1"/>
  <c r="B22" i="1"/>
  <c r="D31" i="1"/>
  <c r="C31" i="1"/>
  <c r="C44" i="1" a="1"/>
  <c r="D22" i="1" a="1"/>
  <c r="C22" i="1" a="1"/>
  <c r="C41" i="1" a="1"/>
  <c r="C45" i="1" a="1"/>
  <c r="C43" i="1" a="1"/>
  <c r="C42" i="1" a="1"/>
  <c r="K39" i="1" a="1"/>
  <c r="K32" i="1" a="1"/>
  <c r="C42" i="1" l="1"/>
  <c r="C43" i="1"/>
  <c r="C45" i="1"/>
  <c r="C41" i="1"/>
  <c r="C22" i="1"/>
  <c r="D22" i="1"/>
  <c r="C44" i="1"/>
  <c r="B40" i="1"/>
  <c r="K39" i="1"/>
  <c r="J45" i="1" s="1"/>
  <c r="K32" i="1"/>
  <c r="J36" i="1" s="1"/>
  <c r="K15" i="1" a="1"/>
  <c r="C40" i="1" a="1"/>
  <c r="K25" i="1" a="1"/>
  <c r="K25" i="1" l="1"/>
  <c r="J29" i="1" s="1"/>
  <c r="C40" i="1"/>
  <c r="K15" i="1"/>
  <c r="J19" i="1" s="1"/>
  <c r="K49" i="1" a="1"/>
  <c r="K49" i="1" l="1"/>
  <c r="J5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<sst xmlns="http://schemas.openxmlformats.org/spreadsheetml/2006/main" count="92" uniqueCount="72">
  <si>
    <t>Расчет значений для тестирования в neftpy</t>
  </si>
  <si>
    <t>rsb range</t>
  </si>
  <si>
    <t>start</t>
  </si>
  <si>
    <t>end</t>
  </si>
  <si>
    <t>num</t>
  </si>
  <si>
    <t>range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</si>
  <si>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</si>
  <si>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</si>
  <si>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</si>
  <si>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</si>
  <si>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</si>
  <si>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</si>
  <si>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</si>
  <si>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</si>
  <si>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</si>
  <si>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</si>
  <si>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t_res_K</t>
  </si>
  <si>
    <t>unf_pvt_pb_Standing_Mpa</t>
  </si>
  <si>
    <t>rsb</t>
  </si>
  <si>
    <t>unf_pvt_pb_Valko_McCain_Mpa</t>
  </si>
  <si>
    <t>p_range</t>
  </si>
  <si>
    <t>p</t>
  </si>
  <si>
    <t>unf_pvt_rs_Standing_m3m3</t>
  </si>
  <si>
    <t>unf_pvt_rs_Velarde_m3m3</t>
  </si>
  <si>
    <t>pb_Mpa</t>
  </si>
  <si>
    <t>unf_pvt_FVF_Saturated_Oil_Standing_m3m3</t>
  </si>
  <si>
    <t>unf_pvt_density_oil_Standing_kgm3</t>
  </si>
  <si>
    <t>unf_pvt_viscosity_dead_oil_Standing_cP</t>
  </si>
  <si>
    <t>unf_pvt_viscosity_dead_oil_Beggs_Robinson_cP</t>
  </si>
  <si>
    <t>rs</t>
  </si>
  <si>
    <t>nu</t>
  </si>
  <si>
    <t>pb</t>
  </si>
  <si>
    <t>unf_pvt_viscosity_oil_Standing_cP</t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</si>
  <si>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0.317842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</si>
  <si>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2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0.382216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</si>
  <si>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3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D4D4D4"/>
        <rFont val="Consolas"/>
        <family val="3"/>
        <charset val="204"/>
      </rPr>
      <t>-</t>
    </r>
    <r>
      <rPr>
        <sz val="11"/>
        <color rgb="FFB5CEA8"/>
        <rFont val="Consolas"/>
        <family val="3"/>
        <charset val="204"/>
      </rPr>
      <t>7.768354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</si>
  <si>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4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14.290531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</si>
  <si>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5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0.000002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</si>
  <si>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6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D4D4D4"/>
        <rFont val="Consolas"/>
        <family val="3"/>
        <charset val="204"/>
      </rPr>
      <t>-</t>
    </r>
    <r>
      <rPr>
        <sz val="11"/>
        <color rgb="FFB5CEA8"/>
        <rFont val="Consolas"/>
        <family val="3"/>
        <charset val="204"/>
      </rPr>
      <t>0.004693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</si>
  <si>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7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0.096254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</si>
  <si>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8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0.16672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</si>
  <si>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9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0.96691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</si>
  <si>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10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0.063069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</si>
  <si>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11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D4D4D4"/>
        <rFont val="Consolas"/>
        <family val="3"/>
        <charset val="204"/>
      </rPr>
      <t>-</t>
    </r>
    <r>
      <rPr>
        <sz val="11"/>
        <color rgb="FFB5CEA8"/>
        <rFont val="Consolas"/>
        <family val="3"/>
        <charset val="204"/>
      </rPr>
      <t>1.966847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</si>
  <si>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12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21.0581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</si>
  <si>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13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D4D4D4"/>
        <rFont val="Consolas"/>
        <family val="3"/>
        <charset val="204"/>
      </rPr>
      <t>-</t>
    </r>
    <r>
      <rPr>
        <sz val="11"/>
        <color rgb="FFB5CEA8"/>
        <rFont val="Consolas"/>
        <family val="3"/>
        <charset val="204"/>
      </rPr>
      <t>27.0246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</si>
  <si>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14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16.23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</si>
  <si>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15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207.783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</si>
  <si>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16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D4D4D4"/>
        <rFont val="Consolas"/>
        <family val="3"/>
        <charset val="204"/>
      </rPr>
      <t>-</t>
    </r>
    <r>
      <rPr>
        <sz val="11"/>
        <color rgb="FFB5CEA8"/>
        <rFont val="Consolas"/>
        <family val="3"/>
        <charset val="204"/>
      </rPr>
      <t>488.161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</si>
  <si>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17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176.29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</si>
  <si>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18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1.88453</t>
    </r>
  </si>
  <si>
    <r>
      <t xml:space="preserve">    </t>
    </r>
    <r>
      <rPr>
        <sz val="11"/>
        <color rgb="FF9CDCFE"/>
        <rFont val="Consolas"/>
        <family val="3"/>
        <charset val="204"/>
      </rPr>
      <t>a</t>
    </r>
    <r>
      <rPr>
        <sz val="11"/>
        <color rgb="FFCCCCCC"/>
        <rFont val="Consolas"/>
        <family val="3"/>
        <charset val="204"/>
      </rPr>
      <t>[</t>
    </r>
    <r>
      <rPr>
        <sz val="11"/>
        <color rgb="FFB5CEA8"/>
        <rFont val="Consolas"/>
        <family val="3"/>
        <charset val="204"/>
      </rPr>
      <t>19</t>
    </r>
    <r>
      <rPr>
        <sz val="11"/>
        <color rgb="FFCCCCCC"/>
        <rFont val="Consolas"/>
        <family val="3"/>
        <charset val="204"/>
      </rPr>
      <t xml:space="preserve">] </t>
    </r>
    <r>
      <rPr>
        <sz val="11"/>
        <color rgb="FFD4D4D4"/>
        <rFont val="Consolas"/>
        <family val="3"/>
        <charset val="204"/>
      </rPr>
      <t>=</t>
    </r>
    <r>
      <rPr>
        <sz val="11"/>
        <color rgb="FFCCCCCC"/>
        <rFont val="Consolas"/>
        <family val="3"/>
        <charset val="204"/>
      </rPr>
      <t xml:space="preserve"> </t>
    </r>
    <r>
      <rPr>
        <sz val="11"/>
        <color rgb="FFB5CEA8"/>
        <rFont val="Consolas"/>
        <family val="3"/>
        <charset val="204"/>
      </rPr>
      <t>3.05921</t>
    </r>
  </si>
  <si>
    <t xml:space="preserve">    a[1] </t>
  </si>
  <si>
    <t xml:space="preserve">    a[2] </t>
  </si>
  <si>
    <t xml:space="preserve">    a[3] </t>
  </si>
  <si>
    <t xml:space="preserve">    a[4] </t>
  </si>
  <si>
    <t xml:space="preserve">    a[5] </t>
  </si>
  <si>
    <t xml:space="preserve">    a[6] </t>
  </si>
  <si>
    <t xml:space="preserve">    a[7] </t>
  </si>
  <si>
    <t xml:space="preserve">    a[8] </t>
  </si>
  <si>
    <t xml:space="preserve">    a[9] </t>
  </si>
  <si>
    <t xml:space="preserve">    a[10] </t>
  </si>
  <si>
    <t xml:space="preserve">    a[11] </t>
  </si>
  <si>
    <t xml:space="preserve">    a[12] </t>
  </si>
  <si>
    <t xml:space="preserve">    a[13] </t>
  </si>
  <si>
    <t xml:space="preserve">    a[14] </t>
  </si>
  <si>
    <t xml:space="preserve">    a[15] </t>
  </si>
  <si>
    <t xml:space="preserve">    a[16] </t>
  </si>
  <si>
    <t xml:space="preserve">    a[17] </t>
  </si>
  <si>
    <t xml:space="preserve">    a[18] </t>
  </si>
  <si>
    <t xml:space="preserve">    a[19] 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</si>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</sst>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rgb="FFCCCCCC"/>
      <name val="Consolas"/>
      <family val="3"/>
      <charset val="204"/>
    </font>
    <font>
      <sz val="11"/>
      <color rgb="FF9CDCFE"/>
      <name val="Consolas"/>
      <family val="3"/>
      <charset val="204"/>
    </font>
    <font>
      <sz val="11"/>
      <color rgb="FFB5CEA8"/>
      <name val="Consolas"/>
      <family val="3"/>
      <charset val="204"/>
    </font>
    <font>
      <sz val="11"/>
      <color rgb="FFD4D4D4"/>
      <name val="Consolas"/>
      <family val="3"/>
      <charset val="204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linspace"/>
      <definedName name="encode_PVT"/>
      <definedName name="unf_pvt_density_oil_Standing_kgm3"/>
      <definedName name="unf_pvt_FVF_Saturated_Oil_Standing_m3m3"/>
      <definedName name="unf_pvt_pb_Standing_MPa"/>
      <definedName name="unf_pvt_pb_Valko_McCain_MPa"/>
      <definedName name="unf_pvt_rs_Standing_m3m3"/>
      <definedName name="unf_pvt_rs_Velarde_m3m3"/>
      <definedName name="unf_pvt_viscosity_dead_oil_Beggs_Robinson_cP"/>
      <definedName name="unf_pvt_viscosity_dead_oil_Standing_cP"/>
      <definedName name="unf_pvt_viscosity_oil_Standing_c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24B16-D482-442D-81F4-A4236A46B145}">
  <sheetPr codeName="Лист1"/>
  <dimension ref="B2:U76"/>
  <sheetViews>
    <sheetView tabSelected="1" topLeftCell="A6" workbookViewId="0">
      <selection activeCell="C68" sqref="C68"/>
    </sheetView>
  </sheetViews>
  <sheetFormatPr defaultRowHeight="15" x14ac:dyDescent="0.25"/>
  <cols>
    <col min="2" max="2" width="13.85546875" customWidth="1"/>
    <col min="3" max="3" width="44" customWidth="1"/>
    <col min="4" max="4" width="30" customWidth="1"/>
    <col min="5" max="5" width="20.140625" customWidth="1"/>
    <col min="6" max="6" width="33" customWidth="1"/>
    <col min="7" max="7" width="16.5703125" customWidth="1"/>
    <col min="8" max="8" width="13.42578125" customWidth="1"/>
    <col min="10" max="10" width="25" customWidth="1"/>
  </cols>
  <sheetData>
    <row r="2" spans="2:21" x14ac:dyDescent="0.25">
      <c r="B2" s="1" t="s">
        <v>6</v>
      </c>
      <c r="C2" s="3">
        <v>0.6</v>
      </c>
    </row>
    <row r="3" spans="2:21" x14ac:dyDescent="0.25">
      <c r="B3" s="1" t="s">
        <v>7</v>
      </c>
      <c r="C3" s="3">
        <v>0.86</v>
      </c>
    </row>
    <row r="4" spans="2:21" x14ac:dyDescent="0.25">
      <c r="B4" s="1" t="s">
        <v>8</v>
      </c>
      <c r="C4" s="3">
        <v>1.1000000000000001</v>
      </c>
    </row>
    <row r="5" spans="2:21" x14ac:dyDescent="0.25">
      <c r="B5" s="1" t="s">
        <v>9</v>
      </c>
      <c r="C5" s="3">
        <v>120</v>
      </c>
    </row>
    <row r="6" spans="2:21" x14ac:dyDescent="0.25">
      <c r="B6" s="1" t="s">
        <v>10</v>
      </c>
      <c r="C6" s="3">
        <v>130</v>
      </c>
      <c r="D6" s="1" t="s">
        <v>24</v>
      </c>
      <c r="E6" s="3">
        <f>pb_atma/10.1325</f>
        <v>12.830002467308166</v>
      </c>
    </row>
    <row r="7" spans="2:21" x14ac:dyDescent="0.25">
      <c r="B7" s="1" t="s">
        <v>11</v>
      </c>
      <c r="C7" s="3">
        <v>80</v>
      </c>
      <c r="D7" s="1" t="s">
        <v>16</v>
      </c>
      <c r="E7" s="3">
        <f>t_res_C+273</f>
        <v>353</v>
      </c>
    </row>
    <row r="8" spans="2:21" x14ac:dyDescent="0.25">
      <c r="B8" s="1" t="s">
        <v>12</v>
      </c>
      <c r="C8" s="3">
        <v>1.2</v>
      </c>
    </row>
    <row r="9" spans="2:21" x14ac:dyDescent="0.25">
      <c r="B9" s="1" t="s">
        <v>13</v>
      </c>
      <c r="C9" s="3">
        <v>0.6</v>
      </c>
    </row>
    <row r="10" spans="2:21" x14ac:dyDescent="0.25">
      <c r="B10" s="1" t="s">
        <v>14</v>
      </c>
      <c r="C10" s="3">
        <v>0</v>
      </c>
    </row>
    <row r="11" spans="2:21" x14ac:dyDescent="0.25">
      <c r="B11" s="1" t="s">
        <v>15</v>
      </c>
      <c r="C11" s="2" t="str">
        <f>[1]!encode_PVT(C2,C3,C4,C5,C6,C7,C8,C9,C10)</f>
        <v>{"gamma_gas":0.6,"gamma_oil":0.86,"gamma_wat":1.1,"rsb_m3m3":120,"pb_atma":130,"t_res_C":80,"bob_m3m3":1.2,"muob_cP":0.6,"PVT_corr_set":0}</v>
      </c>
    </row>
    <row r="13" spans="2:21" x14ac:dyDescent="0.25">
      <c r="B13" t="s">
        <v>0</v>
      </c>
    </row>
    <row r="14" spans="2:21" x14ac:dyDescent="0.25">
      <c r="C14" t="s">
        <v>2</v>
      </c>
      <c r="D14" t="s">
        <v>3</v>
      </c>
      <c r="E14" t="s">
        <v>4</v>
      </c>
      <c r="F14" t="s">
        <v>5</v>
      </c>
    </row>
    <row r="15" spans="2:21" x14ac:dyDescent="0.25">
      <c r="B15" t="s">
        <v>1</v>
      </c>
      <c r="C15">
        <v>1</v>
      </c>
      <c r="D15">
        <v>300</v>
      </c>
      <c r="E15">
        <v>5</v>
      </c>
      <c r="F15" s="2" t="str">
        <f>[1]!encode_linspace(C15,D15,E15)</f>
        <v>[1,60.8,120.6,180.4,240.2,300]</v>
      </c>
      <c r="J15" s="4" t="s">
        <v>17</v>
      </c>
      <c r="K15" s="4" t="str">
        <f t="array" ref="K15">[1]!encode_json($C$22:$C$27)</f>
        <v>[0.448907580141515,13.4987764643021,23.8326700405825,33.2913002316227,42.2211469979671,50.7767705913968]</v>
      </c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t="s">
        <v>20</v>
      </c>
      <c r="C16">
        <v>1</v>
      </c>
      <c r="D16">
        <v>18</v>
      </c>
      <c r="E16">
        <v>5</v>
      </c>
      <c r="F16" t="str">
        <f>[1]!encode_linspace(C16,D16,E16)</f>
        <v>[1,4.4,7.8,11.2,14.6,18]</v>
      </c>
      <c r="J16" t="str">
        <f>"gamma_oil = "&amp;gamma_oil</f>
        <v>gamma_oil = 0.86</v>
      </c>
    </row>
    <row r="17" spans="2:21" x14ac:dyDescent="0.25">
      <c r="J17" t="str">
        <f>"gamma_gas = "&amp;gamma_gas</f>
        <v>gamma_gas = 0.6</v>
      </c>
    </row>
    <row r="18" spans="2:21" x14ac:dyDescent="0.25">
      <c r="J18" t="str">
        <f>"t_K = "&amp;t_res_K</f>
        <v>t_K = 353</v>
      </c>
    </row>
    <row r="19" spans="2:21" x14ac:dyDescent="0.25">
      <c r="J19" t="str">
        <f>"unf_vba_res = "&amp;K15</f>
        <v>unf_vba_res = [0.448907580141515,13.4987764643021,23.8326700405825,33.2913002316227,42.2211469979671,50.7767705913968]</v>
      </c>
    </row>
    <row r="20" spans="2:21" x14ac:dyDescent="0.25">
      <c r="J20" t="str">
        <f>"unf_vba_rsb = "&amp;linspace</f>
        <v>unf_vba_rsb = [1,60.8,120.6,180.4,240.2,300]</v>
      </c>
    </row>
    <row r="21" spans="2:21" x14ac:dyDescent="0.25">
      <c r="B21" t="s">
        <v>18</v>
      </c>
      <c r="C21" t="s">
        <v>17</v>
      </c>
      <c r="D21" t="s">
        <v>19</v>
      </c>
    </row>
    <row r="22" spans="2:21" x14ac:dyDescent="0.25">
      <c r="B22" cm="1">
        <f t="array" ref="B22:B27">[1]!decode_json(linspace)</f>
        <v>1</v>
      </c>
      <c r="C22" cm="1">
        <f t="array" ref="C22">[1]!unf_pvt_pb_Standing_MPa(B22,gamma_gas,t_res_K,gamma_oil)</f>
        <v>0.44890758014151549</v>
      </c>
      <c r="D22" cm="1">
        <f t="array" ref="D22">[1]!unf_pvt_pb_Valko_McCain_MPa(B22,gamma_gas,t_res_K,gamma_oil)</f>
        <v>0.57460066914325536</v>
      </c>
    </row>
    <row r="23" spans="2:21" x14ac:dyDescent="0.25">
      <c r="B23">
        <v>60.8</v>
      </c>
      <c r="C23" cm="1">
        <f t="array" ref="C23">[1]!unf_pvt_pb_Standing_MPa(B23,gamma_gas,t_res_K,gamma_oil)</f>
        <v>13.498776464302054</v>
      </c>
      <c r="D23" cm="1">
        <f t="array" ref="D23">[1]!unf_pvt_pb_Valko_McCain_MPa(B23,gamma_gas,t_res_K,gamma_oil)</f>
        <v>15.904845445759147</v>
      </c>
    </row>
    <row r="24" spans="2:21" x14ac:dyDescent="0.25">
      <c r="B24">
        <v>120.6</v>
      </c>
      <c r="C24" cm="1">
        <f t="array" ref="C24">[1]!unf_pvt_pb_Standing_MPa(B24,gamma_gas,t_res_K,gamma_oil)</f>
        <v>23.832670040582531</v>
      </c>
      <c r="D24" cm="1">
        <f t="array" ref="D24">[1]!unf_pvt_pb_Valko_McCain_MPa(B24,gamma_gas,t_res_K,gamma_oil)</f>
        <v>27.088363060454267</v>
      </c>
    </row>
    <row r="25" spans="2:21" x14ac:dyDescent="0.25">
      <c r="B25">
        <v>180.4</v>
      </c>
      <c r="C25" cm="1">
        <f t="array" ref="C25">[1]!unf_pvt_pb_Standing_MPa(B25,gamma_gas,t_res_K,gamma_oil)</f>
        <v>33.291300231622714</v>
      </c>
      <c r="D25" cm="1">
        <f t="array" ref="D25">[1]!unf_pvt_pb_Valko_McCain_MPa(B25,gamma_gas,t_res_K,gamma_oil)</f>
        <v>35.823112174544157</v>
      </c>
      <c r="J25" s="4" t="str">
        <f>D21</f>
        <v>unf_pvt_pb_Valko_McCain_Mpa</v>
      </c>
      <c r="K25" s="4" t="str" cm="1">
        <f t="array" ref="K25">[1]!encode_json($D$22:$D$27)</f>
        <v>[0.574600669143255,15.9048454457591,27.0883630604543,35.8231121745442,42.8445997446697,48.5938545235162]</v>
      </c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x14ac:dyDescent="0.25">
      <c r="B26">
        <v>240.2</v>
      </c>
      <c r="C26" cm="1">
        <f t="array" ref="C26">[1]!unf_pvt_pb_Standing_MPa(B26,gamma_gas,t_res_K,gamma_oil)</f>
        <v>42.221146997967125</v>
      </c>
      <c r="D26" cm="1">
        <f t="array" ref="D26">[1]!unf_pvt_pb_Valko_McCain_MPa(B26,gamma_gas,t_res_K,gamma_oil)</f>
        <v>42.844599744669651</v>
      </c>
      <c r="J26" t="str">
        <f>"gamma_oil = "&amp;gamma_oil</f>
        <v>gamma_oil = 0.86</v>
      </c>
    </row>
    <row r="27" spans="2:21" x14ac:dyDescent="0.25">
      <c r="B27">
        <v>300</v>
      </c>
      <c r="C27" cm="1">
        <f t="array" ref="C27">[1]!unf_pvt_pb_Standing_MPa(B27,gamma_gas,t_res_K,gamma_oil)</f>
        <v>50.776770591396755</v>
      </c>
      <c r="D27" cm="1">
        <f t="array" ref="D27">[1]!unf_pvt_pb_Valko_McCain_MPa(B27,gamma_gas,t_res_K,gamma_oil)</f>
        <v>48.593854523516164</v>
      </c>
      <c r="J27" t="str">
        <f>"gamma_gas = "&amp;gamma_gas</f>
        <v>gamma_gas = 0.6</v>
      </c>
    </row>
    <row r="28" spans="2:21" x14ac:dyDescent="0.25">
      <c r="J28" t="str">
        <f>"t_K = "&amp;t_res_K</f>
        <v>t_K = 353</v>
      </c>
    </row>
    <row r="29" spans="2:21" x14ac:dyDescent="0.25">
      <c r="J29" t="str">
        <f>"unf_vba_res = "&amp;K25</f>
        <v>unf_vba_res = [0.574600669143255,15.9048454457591,27.0883630604543,35.8231121745442,42.8445997446697,48.5938545235162]</v>
      </c>
    </row>
    <row r="30" spans="2:21" x14ac:dyDescent="0.25">
      <c r="B30" t="s">
        <v>21</v>
      </c>
      <c r="C30" t="s">
        <v>22</v>
      </c>
      <c r="D30" t="s">
        <v>23</v>
      </c>
      <c r="J30" t="str">
        <f>"unf_vba_rsb = "&amp;linspace</f>
        <v>unf_vba_rsb = [1,60.8,120.6,180.4,240.2,300]</v>
      </c>
    </row>
    <row r="31" spans="2:21" x14ac:dyDescent="0.25">
      <c r="B31" cm="1">
        <f t="array" ref="B31:B36">[1]!decode_json(F16)</f>
        <v>1</v>
      </c>
      <c r="C31" cm="1">
        <f t="array" ref="C31">[1]!unf_pvt_rs_Standing_m3m3(B31,gamma_gas,t_res_K,gamma_oil)</f>
        <v>2.6334565288603682</v>
      </c>
      <c r="D31" cm="1">
        <f t="array" ref="D31">[1]!unf_pvt_rs_Velarde_m3m3(B31,pb_Mpa,gamma_gas,t_res_K,gamma_oil,rsb_m3m3)</f>
        <v>13.76915600165799</v>
      </c>
    </row>
    <row r="32" spans="2:21" x14ac:dyDescent="0.25">
      <c r="B32">
        <v>4.4000000000000004</v>
      </c>
      <c r="C32" cm="1">
        <f t="array" ref="C32">[1]!unf_pvt_rs_Standing_m3m3(B32,gamma_gas,t_res_K,gamma_oil)</f>
        <v>15.676285929045781</v>
      </c>
      <c r="D32" cm="1">
        <f t="array" ref="D32">[1]!unf_pvt_rs_Velarde_m3m3(B32,pb_Mpa,gamma_gas,t_res_K,gamma_oil,rsb_m3m3)</f>
        <v>47.172489201571317</v>
      </c>
      <c r="J32" s="4" t="str">
        <f>C30</f>
        <v>unf_pvt_rs_Standing_m3m3</v>
      </c>
      <c r="K32" s="4" t="str" cm="1">
        <f t="array" ref="K32">[1]!encode_json($C$31:$C$36)</f>
        <v>[2.63345652886037,15.6762859290458,31.2325939746016,48.2819334435268,66.436537812051,85.4819163871848]</v>
      </c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2:11" x14ac:dyDescent="0.25">
      <c r="B33">
        <v>7.8</v>
      </c>
      <c r="C33" cm="1">
        <f t="array" ref="C33">[1]!unf_pvt_rs_Standing_m3m3(B33,gamma_gas,t_res_K,gamma_oil)</f>
        <v>31.232593974601592</v>
      </c>
      <c r="D33" cm="1">
        <f t="array" ref="D33">[1]!unf_pvt_rs_Velarde_m3m3(B33,pb_Mpa,gamma_gas,t_res_K,gamma_oil,rsb_m3m3)</f>
        <v>76.471040763271247</v>
      </c>
      <c r="J33" t="str">
        <f>"gamma_oil = "&amp;gamma_oil</f>
        <v>gamma_oil = 0.86</v>
      </c>
    </row>
    <row r="34" spans="2:11" x14ac:dyDescent="0.25">
      <c r="B34">
        <v>11.2</v>
      </c>
      <c r="C34" cm="1">
        <f t="array" ref="C34">[1]!unf_pvt_rs_Standing_m3m3(B34,gamma_gas,t_res_K,gamma_oil)</f>
        <v>48.281933443526846</v>
      </c>
      <c r="D34" cm="1">
        <f t="array" ref="D34">[1]!unf_pvt_rs_Velarde_m3m3(B34,pb_Mpa,gamma_gas,t_res_K,gamma_oil,rsb_m3m3)</f>
        <v>105.64433160419902</v>
      </c>
      <c r="J34" t="str">
        <f>"gamma_gas = "&amp;gamma_gas</f>
        <v>gamma_gas = 0.6</v>
      </c>
    </row>
    <row r="35" spans="2:11" x14ac:dyDescent="0.25">
      <c r="B35">
        <v>14.6</v>
      </c>
      <c r="C35" cm="1">
        <f t="array" ref="C35">[1]!unf_pvt_rs_Standing_m3m3(B35,gamma_gas,t_res_K,gamma_oil)</f>
        <v>66.436537812050958</v>
      </c>
      <c r="D35" cm="1">
        <f t="array" ref="D35">[1]!unf_pvt_rs_Velarde_m3m3(B35,pb_Mpa,gamma_gas,t_res_K,gamma_oil,rsb_m3m3)</f>
        <v>120</v>
      </c>
      <c r="J35" t="str">
        <f>"t_K = "&amp;t_res_K</f>
        <v>t_K = 353</v>
      </c>
    </row>
    <row r="36" spans="2:11" x14ac:dyDescent="0.25">
      <c r="B36">
        <v>18</v>
      </c>
      <c r="C36" cm="1">
        <f t="array" ref="C36">[1]!unf_pvt_rs_Standing_m3m3(B36,gamma_gas,t_res_K,gamma_oil)</f>
        <v>85.481916387184796</v>
      </c>
      <c r="D36" cm="1">
        <f t="array" ref="D36">[1]!unf_pvt_rs_Velarde_m3m3(B36,pb_Mpa,gamma_gas,t_res_K,gamma_oil,rsb_m3m3)</f>
        <v>120</v>
      </c>
      <c r="J36" t="str">
        <f>"unf_vba_res = "&amp;K32</f>
        <v>unf_vba_res = [2.63345652886037,15.6762859290458,31.2325939746016,48.2819334435268,66.436537812051,85.4819163871848]</v>
      </c>
    </row>
    <row r="37" spans="2:11" x14ac:dyDescent="0.25">
      <c r="J37" t="str">
        <f>"p_MPaa = "&amp;F16</f>
        <v>p_MPaa = [1,4.4,7.8,11.2,14.6,18]</v>
      </c>
    </row>
    <row r="39" spans="2:11" x14ac:dyDescent="0.25">
      <c r="B39" t="str">
        <f>B21</f>
        <v>rsb</v>
      </c>
      <c r="C39" t="s">
        <v>25</v>
      </c>
      <c r="J39" s="4" t="str">
        <f>D30</f>
        <v>unf_pvt_rs_Velarde_m3m3</v>
      </c>
      <c r="K39" s="4" t="str" cm="1">
        <f t="array" ref="K39">[1]!encode_json($D$31:$D$36)</f>
        <v>[13.769156001658,47.1724892015713,76.4710407632712,105.644331604199,120,120]</v>
      </c>
    </row>
    <row r="40" spans="2:11" x14ac:dyDescent="0.25">
      <c r="B40">
        <f t="shared" ref="B40:B45" si="0">B22</f>
        <v>1</v>
      </c>
      <c r="C40" cm="1">
        <f t="array" ref="C40">[1]!unf_pvt_FVF_Saturated_Oil_Standing_m3m3(B40,gamma_gas,t_res_K,gamma_oil)</f>
        <v>1.0568637332963178</v>
      </c>
      <c r="J40" t="str">
        <f>"gamma_oil = "&amp;gamma_oil</f>
        <v>gamma_oil = 0.86</v>
      </c>
    </row>
    <row r="41" spans="2:11" x14ac:dyDescent="0.25">
      <c r="B41">
        <f t="shared" si="0"/>
        <v>60.8</v>
      </c>
      <c r="C41" cm="1">
        <f t="array" ref="C41">[1]!unf_pvt_FVF_Saturated_Oil_Standing_m3m3(B41,gamma_gas,t_res_K,gamma_oil)</f>
        <v>1.1923343853187389</v>
      </c>
      <c r="J41" t="str">
        <f>"gamma_gas = "&amp;gamma_gas</f>
        <v>gamma_gas = 0.6</v>
      </c>
    </row>
    <row r="42" spans="2:11" x14ac:dyDescent="0.25">
      <c r="B42">
        <f t="shared" si="0"/>
        <v>120.6</v>
      </c>
      <c r="C42" cm="1">
        <f t="array" ref="C42">[1]!unf_pvt_FVF_Saturated_Oil_Standing_m3m3(B42,gamma_gas,t_res_K,gamma_oil)</f>
        <v>1.3424278022003595</v>
      </c>
      <c r="J42" t="str">
        <f>"t_K = "&amp;t_res_K</f>
        <v>t_K = 353</v>
      </c>
    </row>
    <row r="43" spans="2:11" x14ac:dyDescent="0.25">
      <c r="B43">
        <f t="shared" si="0"/>
        <v>180.4</v>
      </c>
      <c r="C43" cm="1">
        <f t="array" ref="C43">[1]!unf_pvt_FVF_Saturated_Oil_Standing_m3m3(B43,gamma_gas,t_res_K,gamma_oil)</f>
        <v>1.5024108496336546</v>
      </c>
      <c r="J43" t="str">
        <f>"pb_MPaa = "&amp;pb_Mpa</f>
        <v>pb_MPaa = 12.8300024673082</v>
      </c>
    </row>
    <row r="44" spans="2:11" x14ac:dyDescent="0.25">
      <c r="B44">
        <f t="shared" si="0"/>
        <v>240.2</v>
      </c>
      <c r="C44" cm="1">
        <f t="array" ref="C44">[1]!unf_pvt_FVF_Saturated_Oil_Standing_m3m3(B44,gamma_gas,t_res_K,gamma_oil)</f>
        <v>1.6700204770601217</v>
      </c>
      <c r="J44" t="str">
        <f>"rsb = "&amp;rsb_m3m3</f>
        <v>rsb = 120</v>
      </c>
    </row>
    <row r="45" spans="2:11" x14ac:dyDescent="0.25">
      <c r="B45">
        <f t="shared" si="0"/>
        <v>300</v>
      </c>
      <c r="C45" cm="1">
        <f t="array" ref="C45">[1]!unf_pvt_FVF_Saturated_Oil_Standing_m3m3(B45,gamma_gas,t_res_K,gamma_oil)</f>
        <v>1.8438982299009006</v>
      </c>
      <c r="J45" t="str">
        <f>"unf_vba_res = "&amp;K39</f>
        <v>unf_vba_res = [13.769156001658,47.1724892015713,76.4710407632712,105.644331604199,120,120]</v>
      </c>
    </row>
    <row r="46" spans="2:11" x14ac:dyDescent="0.25">
      <c r="J46" t="str">
        <f>"p_MPaa = "&amp;F16</f>
        <v>p_MPaa = [1,4.4,7.8,11.2,14.6,18]</v>
      </c>
    </row>
    <row r="49" spans="10:11" x14ac:dyDescent="0.25">
      <c r="J49" s="4" t="str">
        <f>C39</f>
        <v>unf_pvt_FVF_Saturated_Oil_Standing_m3m3</v>
      </c>
      <c r="K49" s="4" t="str" cm="1">
        <f t="array" ref="K49">[1]!encode_json($C$40:$C$45)</f>
        <v>[1.05686373329632,1.19233438531874,1.34242780220036,1.50241084963365,1.67002047706012,1.8438982299009]</v>
      </c>
    </row>
    <row r="50" spans="10:11" x14ac:dyDescent="0.25">
      <c r="J50" t="str">
        <f>"gamma_oil = "&amp;gamma_oil</f>
        <v>gamma_oil = 0.86</v>
      </c>
    </row>
    <row r="51" spans="10:11" x14ac:dyDescent="0.25">
      <c r="J51" t="str">
        <f>"gamma_gas = "&amp;gamma_gas</f>
        <v>gamma_gas = 0.6</v>
      </c>
    </row>
    <row r="52" spans="10:11" x14ac:dyDescent="0.25">
      <c r="J52" t="str">
        <f>"t_K = "&amp;t_res_K</f>
        <v>t_K = 353</v>
      </c>
    </row>
    <row r="53" spans="10:11" x14ac:dyDescent="0.25">
      <c r="J53" t="str">
        <f>"unf_vba_res = "&amp;K49</f>
        <v>unf_vba_res = [1.05686373329632,1.19233438531874,1.34242780220036,1.50241084963365,1.67002047706012,1.8438982299009]</v>
      </c>
    </row>
    <row r="54" spans="10:11" x14ac:dyDescent="0.25">
      <c r="J54" t="str">
        <f>"unf_vba_rsb = "&amp;linspace</f>
        <v>unf_vba_rsb = [1,60.8,120.6,180.4,240.2,300]</v>
      </c>
    </row>
    <row r="57" spans="10:11" x14ac:dyDescent="0.25">
      <c r="J57" s="4" t="s">
        <v>26</v>
      </c>
    </row>
    <row r="58" spans="10:11" x14ac:dyDescent="0.25">
      <c r="J58" cm="1">
        <f t="array" ref="J58">[1]!unf_pvt_density_oil_Standing_kgm3(250,0.6,0.86,10,1.1,12,0.003)</f>
        <v>948.72727272727263</v>
      </c>
    </row>
    <row r="60" spans="10:11" x14ac:dyDescent="0.25">
      <c r="J60" s="4" t="s">
        <v>27</v>
      </c>
    </row>
    <row r="61" spans="10:11" x14ac:dyDescent="0.25">
      <c r="J61" t="str">
        <f>"t_K = "&amp;t_res_K</f>
        <v>t_K = 353</v>
      </c>
    </row>
    <row r="62" spans="10:11" x14ac:dyDescent="0.25">
      <c r="J62" t="str">
        <f>"gamma_oil = "&amp;gamma_oil</f>
        <v>gamma_oil = 0.86</v>
      </c>
    </row>
    <row r="63" spans="10:11" x14ac:dyDescent="0.25">
      <c r="J63" t="str" cm="1">
        <f t="array" ref="J63">"val = " &amp;[1]!unf_pvt_viscosity_dead_oil_Standing_cP(t_res_K,gamma_oil)</f>
        <v>val = 2.19722776476976</v>
      </c>
    </row>
    <row r="65" spans="7:10" x14ac:dyDescent="0.25">
      <c r="J65" s="4" t="s">
        <v>28</v>
      </c>
    </row>
    <row r="66" spans="7:10" x14ac:dyDescent="0.25">
      <c r="J66" t="str">
        <f>"t_K = "&amp;t_res_K</f>
        <v>t_K = 353</v>
      </c>
    </row>
    <row r="67" spans="7:10" x14ac:dyDescent="0.25">
      <c r="J67" t="str">
        <f>"gamma_oil = "&amp;gamma_oil</f>
        <v>gamma_oil = 0.86</v>
      </c>
    </row>
    <row r="68" spans="7:10" x14ac:dyDescent="0.25">
      <c r="J68" t="str" cm="1">
        <f t="array" ref="J68">"val = " &amp;[1]!unf_pvt_viscosity_dead_oil_Beggs_Robinson_cP(t_res_K,gamma_oil)</f>
        <v>val = 2.68955979075439</v>
      </c>
    </row>
    <row r="71" spans="7:10" x14ac:dyDescent="0.25">
      <c r="J71" s="4" t="s">
        <v>32</v>
      </c>
    </row>
    <row r="72" spans="7:10" x14ac:dyDescent="0.25">
      <c r="G72" t="s">
        <v>29</v>
      </c>
      <c r="H72">
        <v>100</v>
      </c>
      <c r="J72" t="str">
        <f>G72&amp;" = "&amp;H72</f>
        <v>rs = 100</v>
      </c>
    </row>
    <row r="73" spans="7:10" x14ac:dyDescent="0.25">
      <c r="G73" t="s">
        <v>30</v>
      </c>
      <c r="H73">
        <v>2</v>
      </c>
      <c r="J73" t="str">
        <f t="shared" ref="J73:J75" si="1">G73&amp;" = "&amp;H73</f>
        <v>nu = 2</v>
      </c>
    </row>
    <row r="74" spans="7:10" x14ac:dyDescent="0.25">
      <c r="G74" t="s">
        <v>21</v>
      </c>
      <c r="H74">
        <v>10</v>
      </c>
      <c r="J74" t="str">
        <f t="shared" si="1"/>
        <v>p = 10</v>
      </c>
    </row>
    <row r="75" spans="7:10" x14ac:dyDescent="0.25">
      <c r="G75" t="s">
        <v>31</v>
      </c>
      <c r="H75">
        <v>12</v>
      </c>
      <c r="J75" t="str">
        <f t="shared" si="1"/>
        <v>pb = 12</v>
      </c>
    </row>
    <row r="76" spans="7:10" x14ac:dyDescent="0.25">
      <c r="J76" t="str" cm="1">
        <f t="array" ref="J76">"val = " &amp;[1]!unf_pvt_viscosity_oil_Standing_cP(H72,H73,H74,H75)</f>
        <v>val = 0.716575048793071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6191-C1E1-455F-A16B-774B6BCFFFF5}">
  <sheetPr codeName="Лист2"/>
  <dimension ref="A1:G19"/>
  <sheetViews>
    <sheetView workbookViewId="0">
      <selection activeCell="F1" sqref="F1:G19"/>
    </sheetView>
  </sheetViews>
  <sheetFormatPr defaultRowHeight="15" x14ac:dyDescent="0.25"/>
  <sheetData>
    <row r="1" spans="1:7" x14ac:dyDescent="0.25">
      <c r="A1" s="5" t="s">
        <v>33</v>
      </c>
      <c r="E1" s="5" t="s">
        <v>52</v>
      </c>
      <c r="F1">
        <v>0.31784200000000001</v>
      </c>
      <c r="G1" t="s">
        <v>71</v>
      </c>
    </row>
    <row r="2" spans="1:7" x14ac:dyDescent="0.25">
      <c r="A2" s="5" t="s">
        <v>34</v>
      </c>
      <c r="E2" s="5" t="s">
        <v>53</v>
      </c>
      <c r="F2">
        <v>0.382216</v>
      </c>
      <c r="G2" t="s">
        <v>71</v>
      </c>
    </row>
    <row r="3" spans="1:7" x14ac:dyDescent="0.25">
      <c r="A3" s="5" t="s">
        <v>35</v>
      </c>
      <c r="E3" s="5" t="s">
        <v>54</v>
      </c>
      <c r="F3">
        <v>-7.7683540000000004</v>
      </c>
      <c r="G3" t="s">
        <v>71</v>
      </c>
    </row>
    <row r="4" spans="1:7" x14ac:dyDescent="0.25">
      <c r="A4" s="5" t="s">
        <v>36</v>
      </c>
      <c r="E4" s="5" t="s">
        <v>55</v>
      </c>
      <c r="F4">
        <v>14.290531</v>
      </c>
      <c r="G4" t="s">
        <v>71</v>
      </c>
    </row>
    <row r="5" spans="1:7" x14ac:dyDescent="0.25">
      <c r="A5" s="5" t="s">
        <v>37</v>
      </c>
      <c r="E5" s="5" t="s">
        <v>56</v>
      </c>
      <c r="F5">
        <v>1.9999999999999999E-6</v>
      </c>
      <c r="G5" t="s">
        <v>71</v>
      </c>
    </row>
    <row r="6" spans="1:7" x14ac:dyDescent="0.25">
      <c r="A6" s="5" t="s">
        <v>38</v>
      </c>
      <c r="E6" s="5" t="s">
        <v>57</v>
      </c>
      <c r="F6">
        <v>-4.6930000000000001E-3</v>
      </c>
      <c r="G6" t="s">
        <v>71</v>
      </c>
    </row>
    <row r="7" spans="1:7" x14ac:dyDescent="0.25">
      <c r="A7" s="5" t="s">
        <v>39</v>
      </c>
      <c r="E7" s="5" t="s">
        <v>58</v>
      </c>
      <c r="F7">
        <v>9.6254000000000006E-2</v>
      </c>
      <c r="G7" t="s">
        <v>71</v>
      </c>
    </row>
    <row r="8" spans="1:7" x14ac:dyDescent="0.25">
      <c r="A8" s="5" t="s">
        <v>40</v>
      </c>
      <c r="E8" s="5" t="s">
        <v>59</v>
      </c>
      <c r="F8">
        <v>0.16672000000000001</v>
      </c>
      <c r="G8" t="s">
        <v>71</v>
      </c>
    </row>
    <row r="9" spans="1:7" x14ac:dyDescent="0.25">
      <c r="A9" s="5" t="s">
        <v>41</v>
      </c>
      <c r="E9" s="5" t="s">
        <v>60</v>
      </c>
      <c r="F9">
        <v>0.96691000000000005</v>
      </c>
      <c r="G9" t="s">
        <v>71</v>
      </c>
    </row>
    <row r="10" spans="1:7" x14ac:dyDescent="0.25">
      <c r="A10" s="5" t="s">
        <v>42</v>
      </c>
      <c r="E10" s="5" t="s">
        <v>61</v>
      </c>
      <c r="F10">
        <v>6.3069E-2</v>
      </c>
      <c r="G10" t="s">
        <v>71</v>
      </c>
    </row>
    <row r="11" spans="1:7" x14ac:dyDescent="0.25">
      <c r="A11" s="5" t="s">
        <v>43</v>
      </c>
      <c r="E11" s="5" t="s">
        <v>62</v>
      </c>
      <c r="F11">
        <v>-1.966847</v>
      </c>
      <c r="G11" t="s">
        <v>71</v>
      </c>
    </row>
    <row r="12" spans="1:7" x14ac:dyDescent="0.25">
      <c r="A12" s="5" t="s">
        <v>44</v>
      </c>
      <c r="E12" s="5" t="s">
        <v>63</v>
      </c>
      <c r="F12">
        <v>21.0581</v>
      </c>
      <c r="G12" t="s">
        <v>71</v>
      </c>
    </row>
    <row r="13" spans="1:7" x14ac:dyDescent="0.25">
      <c r="A13" s="5" t="s">
        <v>45</v>
      </c>
      <c r="E13" s="5" t="s">
        <v>64</v>
      </c>
      <c r="F13">
        <v>-27.0246</v>
      </c>
      <c r="G13" t="s">
        <v>71</v>
      </c>
    </row>
    <row r="14" spans="1:7" x14ac:dyDescent="0.25">
      <c r="A14" s="5" t="s">
        <v>46</v>
      </c>
      <c r="E14" s="5" t="s">
        <v>65</v>
      </c>
      <c r="F14">
        <v>16.23</v>
      </c>
      <c r="G14" t="s">
        <v>71</v>
      </c>
    </row>
    <row r="15" spans="1:7" x14ac:dyDescent="0.25">
      <c r="A15" s="5" t="s">
        <v>47</v>
      </c>
      <c r="E15" s="5" t="s">
        <v>66</v>
      </c>
      <c r="F15">
        <v>207.78299999999999</v>
      </c>
      <c r="G15" t="s">
        <v>71</v>
      </c>
    </row>
    <row r="16" spans="1:7" x14ac:dyDescent="0.25">
      <c r="A16" s="5" t="s">
        <v>48</v>
      </c>
      <c r="E16" s="5" t="s">
        <v>67</v>
      </c>
      <c r="F16">
        <v>-488.161</v>
      </c>
      <c r="G16" t="s">
        <v>71</v>
      </c>
    </row>
    <row r="17" spans="1:7" x14ac:dyDescent="0.25">
      <c r="A17" s="5" t="s">
        <v>49</v>
      </c>
      <c r="E17" s="5" t="s">
        <v>68</v>
      </c>
      <c r="F17">
        <v>176.29</v>
      </c>
      <c r="G17" t="s">
        <v>71</v>
      </c>
    </row>
    <row r="18" spans="1:7" x14ac:dyDescent="0.25">
      <c r="A18" s="5" t="s">
        <v>50</v>
      </c>
      <c r="E18" s="5" t="s">
        <v>69</v>
      </c>
      <c r="F18">
        <v>1.88453</v>
      </c>
      <c r="G18" t="s">
        <v>71</v>
      </c>
    </row>
    <row r="19" spans="1:7" x14ac:dyDescent="0.25">
      <c r="A19" s="5" t="s">
        <v>51</v>
      </c>
      <c r="E19" s="5" t="s">
        <v>70</v>
      </c>
      <c r="F19">
        <v>3.0592100000000002</v>
      </c>
      <c r="G19" t="s">
        <v>71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pvt</vt:lpstr>
      <vt:lpstr>Лист1</vt:lpstr>
      <vt:lpstr>bob_m3m3</vt:lpstr>
      <vt:lpstr>gamma_gas</vt:lpstr>
      <vt:lpstr>gamma_oil</vt:lpstr>
      <vt:lpstr>gamma_wat</vt:lpstr>
      <vt:lpstr>linspace</vt:lpstr>
      <vt:lpstr>muob_cP</vt:lpstr>
      <vt:lpstr>pb_atma</vt:lpstr>
      <vt:lpstr>pb_Mpa</vt:lpstr>
      <vt:lpstr>PVT</vt:lpstr>
      <vt:lpstr>pvt_corr_set</vt:lpstr>
      <vt:lpstr>PVT_json</vt:lpstr>
      <vt:lpstr>rsb_m3m3</vt:lpstr>
      <vt:lpstr>t_res_C</vt:lpstr>
      <vt:lpstr>t_res_K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2024-07-29T14:05:00Z</dcterms:created>
  <dcterms:modified xsi:type="dcterms:W3CDTF">2024-07-31T13:40:29Z</dcterms:modified>
</cp:coreProperties>
</file>